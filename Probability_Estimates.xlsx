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datsimp_stanford_edu/Documents/Stanford/AA228V/Final Project/"/>
    </mc:Choice>
  </mc:AlternateContent>
  <xr:revisionPtr revIDLastSave="147" documentId="11_F25DC773A252ABDACC10489BB95959C25ADE58ED" xr6:coauthVersionLast="47" xr6:coauthVersionMax="47" xr10:uidLastSave="{132B2799-20DB-4743-A498-69275D801A35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<sst xmlns="http://schemas.openxmlformats.org/spreadsheetml/2006/main" count="593" uniqueCount="112">
  <si>
    <t>p_fail_est</t>
  </si>
  <si>
    <t>Stuck</t>
  </si>
  <si>
    <t>Total Cost</t>
  </si>
  <si>
    <t>Total Time</t>
  </si>
  <si>
    <t>Nominal</t>
  </si>
  <si>
    <t>Starting Point</t>
  </si>
  <si>
    <t>Params</t>
  </si>
  <si>
    <t>W_dist</t>
  </si>
  <si>
    <t>mu_dist</t>
  </si>
  <si>
    <t>var_dist</t>
  </si>
  <si>
    <t>mu_wind</t>
  </si>
  <si>
    <t>var_wind</t>
  </si>
  <si>
    <t>W_angle</t>
  </si>
  <si>
    <t>var_wind_angle_change</t>
  </si>
  <si>
    <t>Expert</t>
  </si>
  <si>
    <t>CEM AIS</t>
  </si>
  <si>
    <t>Proposal Dist</t>
  </si>
  <si>
    <t>========================================</t>
  </si>
  <si>
    <t>Estimating Probability for: Total Cost</t>
  </si>
  <si>
    <t>Final estimated parameters (mu):</t>
  </si>
  <si>
    <t>[0.01324957 0.85599646 0.15113655 0.1031691  0.01196709 0.15133639</t>
  </si>
  <si>
    <t xml:space="preserve"> 0.01039286]</t>
  </si>
  <si>
    <t>Starting Importance Sampling with 50 samples in parallel...</t>
  </si>
  <si>
    <t>Running Trial 0</t>
  </si>
  <si>
    <t>Running Trial 1</t>
  </si>
  <si>
    <t>Running Trial 2</t>
  </si>
  <si>
    <t>Running Trial 3</t>
  </si>
  <si>
    <t>Running Trial 4</t>
  </si>
  <si>
    <t>Running Trial 5</t>
  </si>
  <si>
    <t>Running Trial 6</t>
  </si>
  <si>
    <t>Running Trial 7</t>
  </si>
  <si>
    <t>Running Trial 8</t>
  </si>
  <si>
    <t>Running Trial 9</t>
  </si>
  <si>
    <t>Running Trial 10</t>
  </si>
  <si>
    <t>Running Trial 11</t>
  </si>
  <si>
    <t>Running Trial 12</t>
  </si>
  <si>
    <t>Running Trial 13</t>
  </si>
  <si>
    <t>Running Trial 14</t>
  </si>
  <si>
    <t>Running Trial 15</t>
  </si>
  <si>
    <t>Running Trial 16</t>
  </si>
  <si>
    <t>Running Trial 17</t>
  </si>
  <si>
    <t>Running Trial 18</t>
  </si>
  <si>
    <t>Running Trial 19</t>
  </si>
  <si>
    <t>Running Trial 20</t>
  </si>
  <si>
    <t>Running Trial 21</t>
  </si>
  <si>
    <t>Running Trial 22</t>
  </si>
  <si>
    <t>Running Trial 23</t>
  </si>
  <si>
    <t>Running Trial 24</t>
  </si>
  <si>
    <t>Running Trial 25</t>
  </si>
  <si>
    <t>Running Trial 26</t>
  </si>
  <si>
    <t>Running Trial 27</t>
  </si>
  <si>
    <t>Running Trial 28</t>
  </si>
  <si>
    <t>Running Trial 29</t>
  </si>
  <si>
    <t>Running Trial 30</t>
  </si>
  <si>
    <t>Running Trial 31</t>
  </si>
  <si>
    <t>Running Trial 32</t>
  </si>
  <si>
    <t>Running Trial 33</t>
  </si>
  <si>
    <t>Running Trial 34</t>
  </si>
  <si>
    <t>Running Trial 35</t>
  </si>
  <si>
    <t>Running Trial 36</t>
  </si>
  <si>
    <t>Running Trial 37</t>
  </si>
  <si>
    <t>Running Trial 38</t>
  </si>
  <si>
    <t>Running Trial 39</t>
  </si>
  <si>
    <t>Running Trial 40</t>
  </si>
  <si>
    <t>Running Trial 41</t>
  </si>
  <si>
    <t>Running Trial 42</t>
  </si>
  <si>
    <t>Running Trial 43</t>
  </si>
  <si>
    <t>Running Trial 44</t>
  </si>
  <si>
    <t>Running Trial 45</t>
  </si>
  <si>
    <t>Running Trial 46</t>
  </si>
  <si>
    <t>Running Trial 47</t>
  </si>
  <si>
    <t>Running Trial 48</t>
  </si>
  <si>
    <t>Running Trial 49</t>
  </si>
  <si>
    <t>Estimated Probability of Failure (Nominal p): 4.149753e-10</t>
  </si>
  <si>
    <t>Failure Rate of Proposal Distribution (Expert q): 44.00%</t>
  </si>
  <si>
    <t>Estimating Probability for: Total Time</t>
  </si>
  <si>
    <t>[0.01030927 0.82598429 0.09562832 0.24654182 0.01169948 0.13014186</t>
  </si>
  <si>
    <t xml:space="preserve"> 0.01134502]</t>
  </si>
  <si>
    <t>Estimated Probability of Failure (Nominal p): 0.000000e+00</t>
  </si>
  <si>
    <t>Failure Rate of Proposal Distribution (Expert q): 0.00%</t>
  </si>
  <si>
    <t>Estimating Probability for: Stuck Count</t>
  </si>
  <si>
    <t>[0.02644613 0.70630308 0.05215278 0.27626986 0.01193951 0.02060339</t>
  </si>
  <si>
    <t xml:space="preserve"> 0.01124461]</t>
  </si>
  <si>
    <t>Estimated Probability of Failure (Nominal p): 1.199186e-12</t>
  </si>
  <si>
    <t>Failure Rate of Proposal Distribution (Expert q): 70.00%</t>
  </si>
  <si>
    <t>AIS_params_expert_start</t>
  </si>
  <si>
    <t>[0.97091675 0.45005428 0.34512678 0.17323124 0.01049648 0.15036917</t>
  </si>
  <si>
    <t xml:space="preserve"> 0.96274659]</t>
  </si>
  <si>
    <t>Estimated Probability of Failure (Nominal p): 2.188820e-01</t>
  </si>
  <si>
    <t>Failure Rate of Proposal Distribution (Expert q): 48.00%</t>
  </si>
  <si>
    <t>[0.7163679  0.4828557  0.54084858 0.14040487 0.01289281 0.8874512</t>
  </si>
  <si>
    <t xml:space="preserve"> 0.90103098]</t>
  </si>
  <si>
    <t>[0.54982536 0.49936523 0.69815313 0.23156584 0.01159508 0.74556335</t>
  </si>
  <si>
    <t xml:space="preserve"> 1.0554065 ]</t>
  </si>
  <si>
    <t>Estimated Probability of Failure (Nominal p): 8.399116e-08</t>
  </si>
  <si>
    <t>Failure Rate of Proposal Distribution (Expert q): 8.00%</t>
  </si>
  <si>
    <t>AIS_params_nominal_start</t>
  </si>
  <si>
    <t>Expert Dist Nominal No AIS</t>
  </si>
  <si>
    <t>Estimated Probability of Failure (Nominal p): 1.620055e-15</t>
  </si>
  <si>
    <t>Failure Rate of Proposal Distribution (Expert q): 26.00%</t>
  </si>
  <si>
    <t>Estimated Probability of Failure (Nominal p): 3.416426e-09</t>
  </si>
  <si>
    <t>Failure Rate of Proposal Distribution (Expert q): 78.00%</t>
  </si>
  <si>
    <t>Nominal Direct Estimation</t>
  </si>
  <si>
    <t>Direct Estimation Results (Parallel Execution - 1000 Trials)</t>
  </si>
  <si>
    <t>No Failure: 98.70% (987/1000)</t>
  </si>
  <si>
    <t>Budget runs out (Total Cost): 1.20% (12/1000)</t>
  </si>
  <si>
    <t>Out of Time (Total Time): 0.00% (0/1000)</t>
  </si>
  <si>
    <t>Drones got Stuck (Stuck Count): 0.10% (1/1000)</t>
  </si>
  <si>
    <t>Expert Direct Estimation</t>
  </si>
  <si>
    <t>No Failure: 76.90% (769/1000)</t>
  </si>
  <si>
    <t>Budget runs out (Total Cost): 21.20% (212/1000)</t>
  </si>
  <si>
    <t>Drones got Stuck (Stuck Count): 1.90% (19/1000)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</si>
</sst>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7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2" fillId="0" borderId="0" xfId="0" applyFont="1"/>
    <xf numFmtId="175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106136</xdr:colOff>
      <xdr:row>1</xdr:row>
      <xdr:rowOff>141514</xdr:rowOff>
    </xdr:from>
    <xdr:to>
      <xdr:col>41</xdr:col>
      <xdr:colOff>293914</xdr:colOff>
      <xdr:row>51</xdr:row>
      <xdr:rowOff>174171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C6E33F-150D-3547-9BF6-5FA69C9F3680}"/>
            </a:ext>
          </a:extLst>
        </xdr:cNvPr>
        <xdr:cNvSpPr txBox="1"/>
      </xdr:nvSpPr>
      <xdr:spPr>
        <a:xfrm>
          <a:off x="21888450" y="326571"/>
          <a:ext cx="6066064" cy="9361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absolutely making the right call.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Yes, you should report your findings exactly as they are and dedicate a significant portion of your discussion section to explaining the discrepancy.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engineering and academic research, "negative" or unexpected results are just as valuable as perfect ones, provided you can thoroughly explain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why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they happened. Diagnosing the discrepancy demonstrates a deep, fundamental understanding of both your system and the mathematical underlying principles of Importance Sampling. Your professors will appreciate a well-reasoned diagnostic discussion much more than a hastily fabricated "perfect" result.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Here is exactly how I recommend structuring your report and video to turn this situation into a strong, compelling narrative for your Monday deadline: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"Story" of Your Report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Frame your project not as a failure, but as an exploration that yielded two distinct, valuable insights: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Baseline Reality: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Your system under nominal conditions is fundamentally fragile.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Mathematics of Importance Sampling: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Importance sampling breaks down when applied to non-rare events, a phenomenon you successfully observed and diagnosed in practice.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Structure the Discussion Section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highly recommend dedicating your discussion to explaining the discrepancy using these three main points. You can use the exact explanations we discussed earlier: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Importance Sampling is for Rare Events (Weight Degeneracy)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Explain that your Direct Estimation revealed a high baseline failure rate. Because failures are common in the nominal system (e.g., 2,500 cells to search with limited time/budget), Monte Carlo (Direct Estimation) was actually the mathematically appropriate tool to use. Because your Adaptive Importance Sampling (AIS) algorithm was forced to run, it optimized the parameters to find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guaranteed, extreme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edge cases (like pushing the drones 5 standard deviations away into highly adversarial winds). When the Importance Sampling math evaluated these extreme cases against the nominal distribution, the weights correctly evaluated to $\approx 10^{-10}$.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Takeaway: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The IS script didn't estimate the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probability of failure; it estimated the probability of your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highly adversarial edge cases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occurring naturally.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The Gaussian Parameterization Constraint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Acknowledge a limitation in your modeling. Mention that parameters like W_dist (which were intended to probabilistically choose between a random or radial distribution) were mathematically treated as continuous Gaussian variables by the AIS algorithm (np.random.normal()).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Takeaway: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Because of this, the AIS algorithm essentially interpolated the physical coordinates rather than treating them as categorical choices. This is a great "Lessons Learned" / "Future Work" point to show you recognize how algorithmic assumptions impact physical simulations.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Direct Estimation as Ground Truth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State confidently that your Direct Estimation script successfully mapped the true failure rate of the current system architecture. The IS script functioned as a mathematical stress test that proved just how unlikely the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worst-case scenarios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are to occur organically.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Tips for the Video Presentation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Don't hide the discrepancy: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Bring it up early when you show your results slide. Say something like, 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"At first glance, the Importance Sampling probability of $10^{-10}$ seems contradictory to the high failure rate found in Direct Estimation. However, analyzing the math reveals exactly why this happens..."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Show the Distributions (Visually if possible):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If you have time to make a quick sketch or slide, show two bell curves that barely overlap. Explain that your nominal distribution ($p$) and your expert proposal distribution ($q$) ended up so far apart that the likelihood ratio $p(x)/q(x)$ collapsed to zero.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Focus on the POMDP: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You built a really cool Decentralized POMDP system with custom belief tracking, entropy calculations, and communication constraints! Make sure you highlight this engineering achievement in the video, as it's a massive part of the work you did.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have built a highly complex, multi-agent simulator, a custom tracker, an AIS optimizer, and an IS estimator. That is a massive amount of high-quality work for a final project. Be proud of the infrastructure you built, explain the math confidently, and you will do great. Good luck with the submission!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185"/>
  <sheetViews>
    <sheetView topLeftCell="AH1" workbookViewId="0">
      <selection activeCell="AS4" sqref="AS4"/>
    </sheetView>
  </sheetViews>
  <sheetFormatPr defaultRowHeight="14.6" x14ac:dyDescent="0.4"/>
  <cols>
    <col min="2" max="2" width="14.61328125" customWidth="1"/>
    <col min="3" max="9" width="9.3828125" bestFit="1" customWidth="1"/>
    <col min="13" max="13" width="13.4609375" customWidth="1"/>
    <col min="15" max="15" width="10.07421875" customWidth="1"/>
    <col min="16" max="16" width="10.15234375" customWidth="1"/>
  </cols>
  <sheetData>
    <row r="2" spans="1:44" ht="20.6" x14ac:dyDescent="0.55000000000000004">
      <c r="B2" s="5" t="s">
        <v>15</v>
      </c>
      <c r="C2" s="5"/>
      <c r="D2" s="5"/>
      <c r="E2" s="5"/>
      <c r="F2" s="5"/>
      <c r="G2" s="5"/>
      <c r="H2" s="5"/>
      <c r="I2" s="5"/>
      <c r="J2" s="5"/>
      <c r="R2" t="s">
        <v>85</v>
      </c>
      <c r="Z2" t="s">
        <v>96</v>
      </c>
      <c r="AR2" t="s">
        <v>97</v>
      </c>
    </row>
    <row r="3" spans="1:44" x14ac:dyDescent="0.4">
      <c r="B3" s="2" t="s">
        <v>5</v>
      </c>
      <c r="C3" s="2" t="s">
        <v>1</v>
      </c>
      <c r="D3" s="2" t="s">
        <v>2</v>
      </c>
      <c r="E3" s="2" t="s">
        <v>3</v>
      </c>
      <c r="M3" s="2" t="s">
        <v>16</v>
      </c>
      <c r="N3" s="2" t="s">
        <v>1</v>
      </c>
      <c r="O3" s="2" t="s">
        <v>2</v>
      </c>
      <c r="P3" s="2" t="s">
        <v>3</v>
      </c>
      <c r="R3" t="s">
        <v>17</v>
      </c>
      <c r="AR3" t="s">
        <v>22</v>
      </c>
    </row>
    <row r="4" spans="1:44" x14ac:dyDescent="0.4">
      <c r="A4" t="s">
        <v>0</v>
      </c>
      <c r="B4" t="s">
        <v>4</v>
      </c>
      <c r="C4" s="1">
        <f>0.01363819</f>
        <v>1.363819E-2</v>
      </c>
      <c r="D4" s="1">
        <v>0</v>
      </c>
      <c r="E4" s="1">
        <v>0.2971182</v>
      </c>
      <c r="M4" t="s">
        <v>14</v>
      </c>
      <c r="N4" s="1">
        <v>1.1924490000000001E-15</v>
      </c>
      <c r="O4" s="1">
        <v>0</v>
      </c>
      <c r="P4" s="1">
        <v>4.3580400000000001E-13</v>
      </c>
      <c r="R4" t="s">
        <v>18</v>
      </c>
      <c r="Z4" t="s">
        <v>17</v>
      </c>
      <c r="AR4" t="s">
        <v>23</v>
      </c>
    </row>
    <row r="5" spans="1:44" x14ac:dyDescent="0.4">
      <c r="A5" t="s">
        <v>0</v>
      </c>
      <c r="B5" t="s">
        <v>14</v>
      </c>
      <c r="C5" s="1">
        <v>1.225552E-30</v>
      </c>
      <c r="D5" s="1">
        <v>1.363819E-2</v>
      </c>
      <c r="E5" s="1">
        <v>1.007418E-13</v>
      </c>
      <c r="N5" s="1"/>
      <c r="O5" s="1"/>
      <c r="P5" s="1"/>
      <c r="R5" t="s">
        <v>17</v>
      </c>
      <c r="Z5" t="s">
        <v>18</v>
      </c>
      <c r="AR5" t="s">
        <v>24</v>
      </c>
    </row>
    <row r="6" spans="1:44" x14ac:dyDescent="0.4">
      <c r="C6" s="1"/>
      <c r="D6" s="1"/>
      <c r="E6" s="1"/>
      <c r="R6" t="s">
        <v>19</v>
      </c>
      <c r="Z6" t="s">
        <v>17</v>
      </c>
      <c r="AR6" t="s">
        <v>25</v>
      </c>
    </row>
    <row r="7" spans="1:44" x14ac:dyDescent="0.4">
      <c r="C7" s="4" t="s">
        <v>1</v>
      </c>
      <c r="D7" s="4"/>
      <c r="E7" s="4"/>
      <c r="F7" s="4"/>
      <c r="G7" s="4"/>
      <c r="H7" s="4"/>
      <c r="I7" s="4"/>
      <c r="R7" t="s">
        <v>20</v>
      </c>
      <c r="Z7" t="s">
        <v>19</v>
      </c>
      <c r="AR7" t="s">
        <v>26</v>
      </c>
    </row>
    <row r="8" spans="1:44" x14ac:dyDescent="0.4"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R8" t="s">
        <v>21</v>
      </c>
      <c r="Z8" t="s">
        <v>86</v>
      </c>
      <c r="AR8" t="s">
        <v>27</v>
      </c>
    </row>
    <row r="9" spans="1:44" x14ac:dyDescent="0.4">
      <c r="A9" t="s">
        <v>6</v>
      </c>
      <c r="B9" s="2" t="s">
        <v>4</v>
      </c>
      <c r="C9" s="3">
        <v>0.84904541829167801</v>
      </c>
      <c r="D9" s="3">
        <v>0.304446803062009</v>
      </c>
      <c r="E9" s="3">
        <v>0.43573292272157199</v>
      </c>
      <c r="F9" s="3">
        <v>0.25752930284578102</v>
      </c>
      <c r="G9" s="3">
        <v>1.35717998572044E-2</v>
      </c>
      <c r="H9" s="3">
        <v>0.95469412595272196</v>
      </c>
      <c r="I9" s="3">
        <v>0.66603301530357595</v>
      </c>
      <c r="R9" t="s">
        <v>22</v>
      </c>
      <c r="Z9" t="s">
        <v>87</v>
      </c>
      <c r="AR9" t="s">
        <v>28</v>
      </c>
    </row>
    <row r="10" spans="1:44" x14ac:dyDescent="0.4">
      <c r="B10" s="2" t="s">
        <v>14</v>
      </c>
      <c r="C10" s="3">
        <v>4.6601117074696899E-2</v>
      </c>
      <c r="D10" s="3">
        <v>0.94763860240958198</v>
      </c>
      <c r="E10" s="3">
        <v>4.9275666461049202E-2</v>
      </c>
      <c r="F10" s="3">
        <v>0.226531552885822</v>
      </c>
      <c r="G10" s="3">
        <v>1.54908782847939E-2</v>
      </c>
      <c r="H10" s="3">
        <v>3.8553412041163297E-2</v>
      </c>
      <c r="I10" s="3">
        <v>1.77720343430346E-2</v>
      </c>
      <c r="R10" t="s">
        <v>23</v>
      </c>
      <c r="Z10" t="s">
        <v>22</v>
      </c>
      <c r="AR10" t="s">
        <v>29</v>
      </c>
    </row>
    <row r="11" spans="1:44" x14ac:dyDescent="0.4">
      <c r="R11" t="s">
        <v>24</v>
      </c>
      <c r="Z11" t="s">
        <v>23</v>
      </c>
      <c r="AR11" t="s">
        <v>30</v>
      </c>
    </row>
    <row r="12" spans="1:44" x14ac:dyDescent="0.4">
      <c r="C12" s="4" t="s">
        <v>2</v>
      </c>
      <c r="D12" s="4"/>
      <c r="E12" s="4"/>
      <c r="F12" s="4"/>
      <c r="G12" s="4"/>
      <c r="H12" s="4"/>
      <c r="I12" s="4"/>
      <c r="R12" t="s">
        <v>25</v>
      </c>
      <c r="Z12" t="s">
        <v>24</v>
      </c>
      <c r="AR12" t="s">
        <v>31</v>
      </c>
    </row>
    <row r="13" spans="1:44" x14ac:dyDescent="0.4">
      <c r="C13" s="2" t="s">
        <v>7</v>
      </c>
      <c r="D13" s="2" t="s">
        <v>8</v>
      </c>
      <c r="E13" s="2" t="s">
        <v>9</v>
      </c>
      <c r="F13" s="2" t="s">
        <v>10</v>
      </c>
      <c r="G13" s="2" t="s">
        <v>11</v>
      </c>
      <c r="H13" s="2" t="s">
        <v>12</v>
      </c>
      <c r="I13" s="2" t="s">
        <v>13</v>
      </c>
      <c r="R13" t="s">
        <v>26</v>
      </c>
      <c r="Z13" t="s">
        <v>25</v>
      </c>
      <c r="AR13" t="s">
        <v>32</v>
      </c>
    </row>
    <row r="14" spans="1:44" x14ac:dyDescent="0.4">
      <c r="B14" s="2" t="s">
        <v>4</v>
      </c>
      <c r="C14" s="3"/>
      <c r="D14" s="3"/>
      <c r="E14" s="3"/>
      <c r="F14" s="3"/>
      <c r="G14" s="3"/>
      <c r="H14" s="3"/>
      <c r="I14" s="3"/>
      <c r="R14" t="s">
        <v>27</v>
      </c>
      <c r="Z14" t="s">
        <v>26</v>
      </c>
      <c r="AR14" t="s">
        <v>33</v>
      </c>
    </row>
    <row r="15" spans="1:44" x14ac:dyDescent="0.4">
      <c r="B15" s="2" t="s">
        <v>14</v>
      </c>
      <c r="C15" s="3"/>
      <c r="D15" s="3"/>
      <c r="E15" s="3"/>
      <c r="F15" s="3"/>
      <c r="G15" s="3"/>
      <c r="H15" s="3"/>
      <c r="I15" s="3"/>
      <c r="R15" t="s">
        <v>28</v>
      </c>
      <c r="Z15" t="s">
        <v>27</v>
      </c>
      <c r="AR15" t="s">
        <v>34</v>
      </c>
    </row>
    <row r="16" spans="1:44" x14ac:dyDescent="0.4">
      <c r="R16" t="s">
        <v>29</v>
      </c>
      <c r="Z16" t="s">
        <v>28</v>
      </c>
      <c r="AR16" t="s">
        <v>35</v>
      </c>
    </row>
    <row r="17" spans="2:44" x14ac:dyDescent="0.4">
      <c r="C17" s="4" t="s">
        <v>3</v>
      </c>
      <c r="D17" s="4"/>
      <c r="E17" s="4"/>
      <c r="F17" s="4"/>
      <c r="G17" s="4"/>
      <c r="H17" s="4"/>
      <c r="I17" s="4"/>
      <c r="R17" t="s">
        <v>30</v>
      </c>
      <c r="Z17" t="s">
        <v>29</v>
      </c>
      <c r="AR17" t="s">
        <v>36</v>
      </c>
    </row>
    <row r="18" spans="2:44" x14ac:dyDescent="0.4">
      <c r="C18" s="2" t="s">
        <v>7</v>
      </c>
      <c r="D18" s="2" t="s">
        <v>8</v>
      </c>
      <c r="E18" s="2" t="s">
        <v>9</v>
      </c>
      <c r="F18" s="2" t="s">
        <v>10</v>
      </c>
      <c r="G18" s="2" t="s">
        <v>11</v>
      </c>
      <c r="H18" s="2" t="s">
        <v>12</v>
      </c>
      <c r="I18" s="2" t="s">
        <v>13</v>
      </c>
      <c r="R18" t="s">
        <v>31</v>
      </c>
      <c r="Z18" t="s">
        <v>30</v>
      </c>
      <c r="AR18" t="s">
        <v>37</v>
      </c>
    </row>
    <row r="19" spans="2:44" x14ac:dyDescent="0.4">
      <c r="B19" s="2" t="s">
        <v>4</v>
      </c>
      <c r="C19" s="3"/>
      <c r="D19" s="3"/>
      <c r="E19" s="3"/>
      <c r="F19" s="3"/>
      <c r="G19" s="3"/>
      <c r="H19" s="3"/>
      <c r="I19" s="3"/>
      <c r="R19" t="s">
        <v>32</v>
      </c>
      <c r="Z19" t="s">
        <v>31</v>
      </c>
      <c r="AR19" t="s">
        <v>38</v>
      </c>
    </row>
    <row r="20" spans="2:44" x14ac:dyDescent="0.4">
      <c r="B20" s="2" t="s">
        <v>14</v>
      </c>
      <c r="C20" s="3"/>
      <c r="D20" s="3"/>
      <c r="E20" s="3"/>
      <c r="F20" s="3"/>
      <c r="G20" s="3"/>
      <c r="H20" s="3"/>
      <c r="I20" s="3"/>
      <c r="R20" t="s">
        <v>33</v>
      </c>
      <c r="Z20" t="s">
        <v>32</v>
      </c>
      <c r="AR20" t="s">
        <v>39</v>
      </c>
    </row>
    <row r="21" spans="2:44" x14ac:dyDescent="0.4">
      <c r="R21" t="s">
        <v>34</v>
      </c>
      <c r="Z21" t="s">
        <v>33</v>
      </c>
      <c r="AR21" t="s">
        <v>40</v>
      </c>
    </row>
    <row r="22" spans="2:44" x14ac:dyDescent="0.4">
      <c r="R22" t="s">
        <v>35</v>
      </c>
      <c r="Z22" t="s">
        <v>34</v>
      </c>
      <c r="AR22" t="s">
        <v>41</v>
      </c>
    </row>
    <row r="23" spans="2:44" x14ac:dyDescent="0.4">
      <c r="R23" t="s">
        <v>36</v>
      </c>
      <c r="Z23" t="s">
        <v>35</v>
      </c>
      <c r="AR23" t="s">
        <v>42</v>
      </c>
    </row>
    <row r="24" spans="2:44" x14ac:dyDescent="0.4">
      <c r="R24" t="s">
        <v>37</v>
      </c>
      <c r="Z24" t="s">
        <v>36</v>
      </c>
      <c r="AR24" t="s">
        <v>43</v>
      </c>
    </row>
    <row r="25" spans="2:44" x14ac:dyDescent="0.4">
      <c r="R25" t="s">
        <v>38</v>
      </c>
      <c r="Z25" t="s">
        <v>37</v>
      </c>
      <c r="AR25" t="s">
        <v>44</v>
      </c>
    </row>
    <row r="26" spans="2:44" x14ac:dyDescent="0.4">
      <c r="R26" t="s">
        <v>39</v>
      </c>
      <c r="Z26" t="s">
        <v>38</v>
      </c>
      <c r="AR26" t="s">
        <v>45</v>
      </c>
    </row>
    <row r="27" spans="2:44" x14ac:dyDescent="0.4">
      <c r="R27" t="s">
        <v>40</v>
      </c>
      <c r="Z27" t="s">
        <v>39</v>
      </c>
      <c r="AR27" t="s">
        <v>46</v>
      </c>
    </row>
    <row r="28" spans="2:44" x14ac:dyDescent="0.4">
      <c r="R28" t="s">
        <v>41</v>
      </c>
      <c r="Z28" t="s">
        <v>40</v>
      </c>
      <c r="AR28" t="s">
        <v>47</v>
      </c>
    </row>
    <row r="29" spans="2:44" x14ac:dyDescent="0.4">
      <c r="R29" t="s">
        <v>42</v>
      </c>
      <c r="Z29" t="s">
        <v>41</v>
      </c>
      <c r="AR29" t="s">
        <v>48</v>
      </c>
    </row>
    <row r="30" spans="2:44" x14ac:dyDescent="0.4">
      <c r="R30" t="s">
        <v>43</v>
      </c>
      <c r="Z30" t="s">
        <v>42</v>
      </c>
      <c r="AR30" t="s">
        <v>49</v>
      </c>
    </row>
    <row r="31" spans="2:44" x14ac:dyDescent="0.4">
      <c r="R31" t="s">
        <v>44</v>
      </c>
      <c r="Z31" t="s">
        <v>43</v>
      </c>
      <c r="AR31" t="s">
        <v>50</v>
      </c>
    </row>
    <row r="32" spans="2:44" x14ac:dyDescent="0.4">
      <c r="R32" t="s">
        <v>45</v>
      </c>
      <c r="Z32" t="s">
        <v>44</v>
      </c>
      <c r="AR32" t="s">
        <v>51</v>
      </c>
    </row>
    <row r="33" spans="18:44" x14ac:dyDescent="0.4">
      <c r="R33" t="s">
        <v>46</v>
      </c>
      <c r="Z33" t="s">
        <v>45</v>
      </c>
      <c r="AR33" t="s">
        <v>52</v>
      </c>
    </row>
    <row r="34" spans="18:44" x14ac:dyDescent="0.4">
      <c r="R34" t="s">
        <v>47</v>
      </c>
      <c r="Z34" t="s">
        <v>46</v>
      </c>
      <c r="AR34" t="s">
        <v>53</v>
      </c>
    </row>
    <row r="35" spans="18:44" x14ac:dyDescent="0.4">
      <c r="R35" t="s">
        <v>48</v>
      </c>
      <c r="Z35" t="s">
        <v>47</v>
      </c>
      <c r="AR35" t="s">
        <v>54</v>
      </c>
    </row>
    <row r="36" spans="18:44" x14ac:dyDescent="0.4">
      <c r="R36" t="s">
        <v>49</v>
      </c>
      <c r="Z36" t="s">
        <v>48</v>
      </c>
      <c r="AR36" t="s">
        <v>55</v>
      </c>
    </row>
    <row r="37" spans="18:44" x14ac:dyDescent="0.4">
      <c r="R37" t="s">
        <v>50</v>
      </c>
      <c r="Z37" t="s">
        <v>49</v>
      </c>
      <c r="AR37" t="s">
        <v>56</v>
      </c>
    </row>
    <row r="38" spans="18:44" x14ac:dyDescent="0.4">
      <c r="R38" t="s">
        <v>51</v>
      </c>
      <c r="Z38" t="s">
        <v>50</v>
      </c>
      <c r="AR38" t="s">
        <v>57</v>
      </c>
    </row>
    <row r="39" spans="18:44" x14ac:dyDescent="0.4">
      <c r="R39" t="s">
        <v>52</v>
      </c>
      <c r="Z39" t="s">
        <v>51</v>
      </c>
      <c r="AR39" t="s">
        <v>58</v>
      </c>
    </row>
    <row r="40" spans="18:44" x14ac:dyDescent="0.4">
      <c r="R40" t="s">
        <v>53</v>
      </c>
      <c r="Z40" t="s">
        <v>52</v>
      </c>
      <c r="AR40" t="s">
        <v>59</v>
      </c>
    </row>
    <row r="41" spans="18:44" x14ac:dyDescent="0.4">
      <c r="R41" t="s">
        <v>54</v>
      </c>
      <c r="Z41" t="s">
        <v>53</v>
      </c>
      <c r="AR41" t="s">
        <v>60</v>
      </c>
    </row>
    <row r="42" spans="18:44" x14ac:dyDescent="0.4">
      <c r="R42" t="s">
        <v>55</v>
      </c>
      <c r="Z42" t="s">
        <v>54</v>
      </c>
      <c r="AR42" t="s">
        <v>61</v>
      </c>
    </row>
    <row r="43" spans="18:44" x14ac:dyDescent="0.4">
      <c r="R43" t="s">
        <v>56</v>
      </c>
      <c r="Z43" t="s">
        <v>55</v>
      </c>
      <c r="AR43" t="s">
        <v>62</v>
      </c>
    </row>
    <row r="44" spans="18:44" x14ac:dyDescent="0.4">
      <c r="R44" t="s">
        <v>57</v>
      </c>
      <c r="Z44" t="s">
        <v>56</v>
      </c>
      <c r="AR44" t="s">
        <v>63</v>
      </c>
    </row>
    <row r="45" spans="18:44" x14ac:dyDescent="0.4">
      <c r="R45" t="s">
        <v>58</v>
      </c>
      <c r="Z45" t="s">
        <v>57</v>
      </c>
      <c r="AR45" t="s">
        <v>64</v>
      </c>
    </row>
    <row r="46" spans="18:44" x14ac:dyDescent="0.4">
      <c r="R46" t="s">
        <v>59</v>
      </c>
      <c r="Z46" t="s">
        <v>58</v>
      </c>
      <c r="AR46" t="s">
        <v>65</v>
      </c>
    </row>
    <row r="47" spans="18:44" x14ac:dyDescent="0.4">
      <c r="R47" t="s">
        <v>60</v>
      </c>
      <c r="Z47" t="s">
        <v>59</v>
      </c>
      <c r="AR47" t="s">
        <v>66</v>
      </c>
    </row>
    <row r="48" spans="18:44" x14ac:dyDescent="0.4">
      <c r="R48" t="s">
        <v>61</v>
      </c>
      <c r="Z48" t="s">
        <v>60</v>
      </c>
      <c r="AR48" t="s">
        <v>67</v>
      </c>
    </row>
    <row r="49" spans="18:44" x14ac:dyDescent="0.4">
      <c r="R49" t="s">
        <v>62</v>
      </c>
      <c r="Z49" t="s">
        <v>61</v>
      </c>
      <c r="AR49" t="s">
        <v>68</v>
      </c>
    </row>
    <row r="50" spans="18:44" x14ac:dyDescent="0.4">
      <c r="R50" t="s">
        <v>63</v>
      </c>
      <c r="Z50" t="s">
        <v>62</v>
      </c>
      <c r="AR50" t="s">
        <v>69</v>
      </c>
    </row>
    <row r="51" spans="18:44" x14ac:dyDescent="0.4">
      <c r="R51" t="s">
        <v>64</v>
      </c>
      <c r="Z51" t="s">
        <v>63</v>
      </c>
      <c r="AR51" t="s">
        <v>70</v>
      </c>
    </row>
    <row r="52" spans="18:44" x14ac:dyDescent="0.4">
      <c r="R52" t="s">
        <v>65</v>
      </c>
      <c r="Z52" t="s">
        <v>64</v>
      </c>
      <c r="AR52" t="s">
        <v>71</v>
      </c>
    </row>
    <row r="53" spans="18:44" x14ac:dyDescent="0.4">
      <c r="R53" t="s">
        <v>66</v>
      </c>
      <c r="Z53" t="s">
        <v>65</v>
      </c>
      <c r="AR53" t="s">
        <v>72</v>
      </c>
    </row>
    <row r="54" spans="18:44" x14ac:dyDescent="0.4">
      <c r="R54" t="s">
        <v>67</v>
      </c>
      <c r="Z54" t="s">
        <v>66</v>
      </c>
      <c r="AR54" t="s">
        <v>98</v>
      </c>
    </row>
    <row r="55" spans="18:44" x14ac:dyDescent="0.4">
      <c r="R55" t="s">
        <v>68</v>
      </c>
      <c r="Z55" t="s">
        <v>67</v>
      </c>
      <c r="AR55" t="s">
        <v>99</v>
      </c>
    </row>
    <row r="56" spans="18:44" x14ac:dyDescent="0.4">
      <c r="R56" t="s">
        <v>69</v>
      </c>
      <c r="Z56" t="s">
        <v>68</v>
      </c>
    </row>
    <row r="57" spans="18:44" x14ac:dyDescent="0.4">
      <c r="R57" t="s">
        <v>70</v>
      </c>
      <c r="Z57" t="s">
        <v>69</v>
      </c>
      <c r="AR57" t="s">
        <v>17</v>
      </c>
    </row>
    <row r="58" spans="18:44" x14ac:dyDescent="0.4">
      <c r="R58" t="s">
        <v>71</v>
      </c>
      <c r="Z58" t="s">
        <v>70</v>
      </c>
      <c r="AR58" t="s">
        <v>75</v>
      </c>
    </row>
    <row r="59" spans="18:44" x14ac:dyDescent="0.4">
      <c r="R59" t="s">
        <v>72</v>
      </c>
      <c r="Z59" t="s">
        <v>71</v>
      </c>
      <c r="AR59" t="s">
        <v>17</v>
      </c>
    </row>
    <row r="60" spans="18:44" x14ac:dyDescent="0.4">
      <c r="R60" t="s">
        <v>73</v>
      </c>
      <c r="Z60" t="s">
        <v>72</v>
      </c>
      <c r="AR60" t="s">
        <v>19</v>
      </c>
    </row>
    <row r="61" spans="18:44" x14ac:dyDescent="0.4">
      <c r="R61" t="s">
        <v>74</v>
      </c>
      <c r="Z61" t="s">
        <v>88</v>
      </c>
      <c r="AR61" t="s">
        <v>90</v>
      </c>
    </row>
    <row r="62" spans="18:44" x14ac:dyDescent="0.4">
      <c r="Z62" t="s">
        <v>89</v>
      </c>
      <c r="AR62" t="s">
        <v>91</v>
      </c>
    </row>
    <row r="63" spans="18:44" x14ac:dyDescent="0.4">
      <c r="R63" t="s">
        <v>17</v>
      </c>
      <c r="AR63" t="s">
        <v>22</v>
      </c>
    </row>
    <row r="64" spans="18:44" x14ac:dyDescent="0.4">
      <c r="R64" t="s">
        <v>75</v>
      </c>
      <c r="Z64" t="s">
        <v>17</v>
      </c>
      <c r="AR64" t="s">
        <v>23</v>
      </c>
    </row>
    <row r="65" spans="18:44" x14ac:dyDescent="0.4">
      <c r="R65" t="s">
        <v>17</v>
      </c>
      <c r="Z65" t="s">
        <v>75</v>
      </c>
      <c r="AR65" t="s">
        <v>24</v>
      </c>
    </row>
    <row r="66" spans="18:44" x14ac:dyDescent="0.4">
      <c r="R66" t="s">
        <v>19</v>
      </c>
      <c r="Z66" t="s">
        <v>17</v>
      </c>
      <c r="AR66" t="s">
        <v>25</v>
      </c>
    </row>
    <row r="67" spans="18:44" x14ac:dyDescent="0.4">
      <c r="R67" t="s">
        <v>76</v>
      </c>
      <c r="Z67" t="s">
        <v>19</v>
      </c>
      <c r="AR67" t="s">
        <v>26</v>
      </c>
    </row>
    <row r="68" spans="18:44" x14ac:dyDescent="0.4">
      <c r="R68" t="s">
        <v>77</v>
      </c>
      <c r="Z68" t="s">
        <v>90</v>
      </c>
      <c r="AR68" t="s">
        <v>27</v>
      </c>
    </row>
    <row r="69" spans="18:44" x14ac:dyDescent="0.4">
      <c r="R69" t="s">
        <v>22</v>
      </c>
      <c r="Z69" t="s">
        <v>91</v>
      </c>
      <c r="AR69" t="s">
        <v>28</v>
      </c>
    </row>
    <row r="70" spans="18:44" x14ac:dyDescent="0.4">
      <c r="R70" t="s">
        <v>23</v>
      </c>
      <c r="Z70" t="s">
        <v>22</v>
      </c>
      <c r="AR70" t="s">
        <v>29</v>
      </c>
    </row>
    <row r="71" spans="18:44" x14ac:dyDescent="0.4">
      <c r="R71" t="s">
        <v>24</v>
      </c>
      <c r="Z71" t="s">
        <v>23</v>
      </c>
      <c r="AR71" t="s">
        <v>30</v>
      </c>
    </row>
    <row r="72" spans="18:44" x14ac:dyDescent="0.4">
      <c r="R72" t="s">
        <v>25</v>
      </c>
      <c r="Z72" t="s">
        <v>24</v>
      </c>
      <c r="AR72" t="s">
        <v>31</v>
      </c>
    </row>
    <row r="73" spans="18:44" x14ac:dyDescent="0.4">
      <c r="R73" t="s">
        <v>26</v>
      </c>
      <c r="Z73" t="s">
        <v>25</v>
      </c>
      <c r="AR73" t="s">
        <v>32</v>
      </c>
    </row>
    <row r="74" spans="18:44" x14ac:dyDescent="0.4">
      <c r="R74" t="s">
        <v>27</v>
      </c>
      <c r="Z74" t="s">
        <v>26</v>
      </c>
      <c r="AR74" t="s">
        <v>33</v>
      </c>
    </row>
    <row r="75" spans="18:44" x14ac:dyDescent="0.4">
      <c r="R75" t="s">
        <v>28</v>
      </c>
      <c r="Z75" t="s">
        <v>27</v>
      </c>
      <c r="AR75" t="s">
        <v>34</v>
      </c>
    </row>
    <row r="76" spans="18:44" x14ac:dyDescent="0.4">
      <c r="R76" t="s">
        <v>29</v>
      </c>
      <c r="Z76" t="s">
        <v>28</v>
      </c>
      <c r="AR76" t="s">
        <v>35</v>
      </c>
    </row>
    <row r="77" spans="18:44" x14ac:dyDescent="0.4">
      <c r="R77" t="s">
        <v>30</v>
      </c>
      <c r="Z77" t="s">
        <v>29</v>
      </c>
      <c r="AR77" t="s">
        <v>36</v>
      </c>
    </row>
    <row r="78" spans="18:44" x14ac:dyDescent="0.4">
      <c r="R78" t="s">
        <v>31</v>
      </c>
      <c r="Z78" t="s">
        <v>30</v>
      </c>
      <c r="AR78" t="s">
        <v>37</v>
      </c>
    </row>
    <row r="79" spans="18:44" x14ac:dyDescent="0.4">
      <c r="R79" t="s">
        <v>32</v>
      </c>
      <c r="Z79" t="s">
        <v>31</v>
      </c>
      <c r="AR79" t="s">
        <v>38</v>
      </c>
    </row>
    <row r="80" spans="18:44" x14ac:dyDescent="0.4">
      <c r="R80" t="s">
        <v>33</v>
      </c>
      <c r="Z80" t="s">
        <v>32</v>
      </c>
      <c r="AR80" t="s">
        <v>39</v>
      </c>
    </row>
    <row r="81" spans="18:44" x14ac:dyDescent="0.4">
      <c r="R81" t="s">
        <v>34</v>
      </c>
      <c r="Z81" t="s">
        <v>33</v>
      </c>
      <c r="AR81" t="s">
        <v>40</v>
      </c>
    </row>
    <row r="82" spans="18:44" x14ac:dyDescent="0.4">
      <c r="R82" t="s">
        <v>35</v>
      </c>
      <c r="Z82" t="s">
        <v>34</v>
      </c>
      <c r="AR82" t="s">
        <v>41</v>
      </c>
    </row>
    <row r="83" spans="18:44" x14ac:dyDescent="0.4">
      <c r="R83" t="s">
        <v>36</v>
      </c>
      <c r="Z83" t="s">
        <v>35</v>
      </c>
      <c r="AR83" t="s">
        <v>42</v>
      </c>
    </row>
    <row r="84" spans="18:44" x14ac:dyDescent="0.4">
      <c r="R84" t="s">
        <v>37</v>
      </c>
      <c r="Z84" t="s">
        <v>36</v>
      </c>
      <c r="AR84" t="s">
        <v>43</v>
      </c>
    </row>
    <row r="85" spans="18:44" x14ac:dyDescent="0.4">
      <c r="R85" t="s">
        <v>38</v>
      </c>
      <c r="Z85" t="s">
        <v>37</v>
      </c>
      <c r="AR85" t="s">
        <v>44</v>
      </c>
    </row>
    <row r="86" spans="18:44" x14ac:dyDescent="0.4">
      <c r="R86" t="s">
        <v>39</v>
      </c>
      <c r="Z86" t="s">
        <v>38</v>
      </c>
      <c r="AR86" t="s">
        <v>45</v>
      </c>
    </row>
    <row r="87" spans="18:44" x14ac:dyDescent="0.4">
      <c r="R87" t="s">
        <v>40</v>
      </c>
      <c r="Z87" t="s">
        <v>39</v>
      </c>
      <c r="AR87" t="s">
        <v>46</v>
      </c>
    </row>
    <row r="88" spans="18:44" x14ac:dyDescent="0.4">
      <c r="R88" t="s">
        <v>41</v>
      </c>
      <c r="Z88" t="s">
        <v>40</v>
      </c>
      <c r="AR88" t="s">
        <v>47</v>
      </c>
    </row>
    <row r="89" spans="18:44" x14ac:dyDescent="0.4">
      <c r="R89" t="s">
        <v>42</v>
      </c>
      <c r="Z89" t="s">
        <v>41</v>
      </c>
      <c r="AR89" t="s">
        <v>48</v>
      </c>
    </row>
    <row r="90" spans="18:44" x14ac:dyDescent="0.4">
      <c r="R90" t="s">
        <v>43</v>
      </c>
      <c r="Z90" t="s">
        <v>42</v>
      </c>
      <c r="AR90" t="s">
        <v>49</v>
      </c>
    </row>
    <row r="91" spans="18:44" x14ac:dyDescent="0.4">
      <c r="R91" t="s">
        <v>44</v>
      </c>
      <c r="Z91" t="s">
        <v>43</v>
      </c>
      <c r="AR91" t="s">
        <v>50</v>
      </c>
    </row>
    <row r="92" spans="18:44" x14ac:dyDescent="0.4">
      <c r="R92" t="s">
        <v>45</v>
      </c>
      <c r="Z92" t="s">
        <v>44</v>
      </c>
      <c r="AR92" t="s">
        <v>51</v>
      </c>
    </row>
    <row r="93" spans="18:44" x14ac:dyDescent="0.4">
      <c r="R93" t="s">
        <v>46</v>
      </c>
      <c r="Z93" t="s">
        <v>45</v>
      </c>
      <c r="AR93" t="s">
        <v>52</v>
      </c>
    </row>
    <row r="94" spans="18:44" x14ac:dyDescent="0.4">
      <c r="R94" t="s">
        <v>47</v>
      </c>
      <c r="Z94" t="s">
        <v>46</v>
      </c>
      <c r="AR94" t="s">
        <v>53</v>
      </c>
    </row>
    <row r="95" spans="18:44" x14ac:dyDescent="0.4">
      <c r="R95" t="s">
        <v>48</v>
      </c>
      <c r="Z95" t="s">
        <v>47</v>
      </c>
      <c r="AR95" t="s">
        <v>54</v>
      </c>
    </row>
    <row r="96" spans="18:44" x14ac:dyDescent="0.4">
      <c r="R96" t="s">
        <v>49</v>
      </c>
      <c r="Z96" t="s">
        <v>48</v>
      </c>
      <c r="AR96" t="s">
        <v>55</v>
      </c>
    </row>
    <row r="97" spans="18:44" x14ac:dyDescent="0.4">
      <c r="R97" t="s">
        <v>50</v>
      </c>
      <c r="Z97" t="s">
        <v>49</v>
      </c>
      <c r="AR97" t="s">
        <v>56</v>
      </c>
    </row>
    <row r="98" spans="18:44" x14ac:dyDescent="0.4">
      <c r="R98" t="s">
        <v>51</v>
      </c>
      <c r="Z98" t="s">
        <v>50</v>
      </c>
      <c r="AR98" t="s">
        <v>57</v>
      </c>
    </row>
    <row r="99" spans="18:44" x14ac:dyDescent="0.4">
      <c r="R99" t="s">
        <v>52</v>
      </c>
      <c r="Z99" t="s">
        <v>51</v>
      </c>
      <c r="AR99" t="s">
        <v>58</v>
      </c>
    </row>
    <row r="100" spans="18:44" x14ac:dyDescent="0.4">
      <c r="R100" t="s">
        <v>53</v>
      </c>
      <c r="Z100" t="s">
        <v>52</v>
      </c>
      <c r="AR100" t="s">
        <v>59</v>
      </c>
    </row>
    <row r="101" spans="18:44" x14ac:dyDescent="0.4">
      <c r="R101" t="s">
        <v>54</v>
      </c>
      <c r="Z101" t="s">
        <v>53</v>
      </c>
      <c r="AR101" t="s">
        <v>60</v>
      </c>
    </row>
    <row r="102" spans="18:44" x14ac:dyDescent="0.4">
      <c r="R102" t="s">
        <v>55</v>
      </c>
      <c r="Z102" t="s">
        <v>54</v>
      </c>
      <c r="AR102" t="s">
        <v>61</v>
      </c>
    </row>
    <row r="103" spans="18:44" x14ac:dyDescent="0.4">
      <c r="R103" t="s">
        <v>56</v>
      </c>
      <c r="Z103" t="s">
        <v>55</v>
      </c>
      <c r="AR103" t="s">
        <v>62</v>
      </c>
    </row>
    <row r="104" spans="18:44" x14ac:dyDescent="0.4">
      <c r="R104" t="s">
        <v>57</v>
      </c>
      <c r="Z104" t="s">
        <v>56</v>
      </c>
      <c r="AR104" t="s">
        <v>63</v>
      </c>
    </row>
    <row r="105" spans="18:44" x14ac:dyDescent="0.4">
      <c r="R105" t="s">
        <v>58</v>
      </c>
      <c r="Z105" t="s">
        <v>57</v>
      </c>
      <c r="AR105" t="s">
        <v>64</v>
      </c>
    </row>
    <row r="106" spans="18:44" x14ac:dyDescent="0.4">
      <c r="R106" t="s">
        <v>59</v>
      </c>
      <c r="Z106" t="s">
        <v>58</v>
      </c>
      <c r="AR106" t="s">
        <v>65</v>
      </c>
    </row>
    <row r="107" spans="18:44" x14ac:dyDescent="0.4">
      <c r="R107" t="s">
        <v>60</v>
      </c>
      <c r="Z107" t="s">
        <v>59</v>
      </c>
      <c r="AR107" t="s">
        <v>66</v>
      </c>
    </row>
    <row r="108" spans="18:44" x14ac:dyDescent="0.4">
      <c r="R108" t="s">
        <v>61</v>
      </c>
      <c r="Z108" t="s">
        <v>60</v>
      </c>
      <c r="AR108" t="s">
        <v>67</v>
      </c>
    </row>
    <row r="109" spans="18:44" x14ac:dyDescent="0.4">
      <c r="R109" t="s">
        <v>62</v>
      </c>
      <c r="Z109" t="s">
        <v>61</v>
      </c>
      <c r="AR109" t="s">
        <v>68</v>
      </c>
    </row>
    <row r="110" spans="18:44" x14ac:dyDescent="0.4">
      <c r="R110" t="s">
        <v>63</v>
      </c>
      <c r="Z110" t="s">
        <v>62</v>
      </c>
      <c r="AR110" t="s">
        <v>69</v>
      </c>
    </row>
    <row r="111" spans="18:44" x14ac:dyDescent="0.4">
      <c r="R111" t="s">
        <v>64</v>
      </c>
      <c r="Z111" t="s">
        <v>63</v>
      </c>
      <c r="AR111" t="s">
        <v>70</v>
      </c>
    </row>
    <row r="112" spans="18:44" x14ac:dyDescent="0.4">
      <c r="R112" t="s">
        <v>65</v>
      </c>
      <c r="Z112" t="s">
        <v>64</v>
      </c>
      <c r="AR112" t="s">
        <v>71</v>
      </c>
    </row>
    <row r="113" spans="18:44" x14ac:dyDescent="0.4">
      <c r="R113" t="s">
        <v>66</v>
      </c>
      <c r="Z113" t="s">
        <v>65</v>
      </c>
      <c r="AR113" t="s">
        <v>72</v>
      </c>
    </row>
    <row r="114" spans="18:44" x14ac:dyDescent="0.4">
      <c r="R114" t="s">
        <v>67</v>
      </c>
      <c r="Z114" t="s">
        <v>66</v>
      </c>
      <c r="AR114" t="s">
        <v>78</v>
      </c>
    </row>
    <row r="115" spans="18:44" x14ac:dyDescent="0.4">
      <c r="R115" t="s">
        <v>68</v>
      </c>
      <c r="Z115" t="s">
        <v>67</v>
      </c>
      <c r="AR115" t="s">
        <v>79</v>
      </c>
    </row>
    <row r="116" spans="18:44" x14ac:dyDescent="0.4">
      <c r="R116" t="s">
        <v>69</v>
      </c>
      <c r="Z116" t="s">
        <v>68</v>
      </c>
    </row>
    <row r="117" spans="18:44" x14ac:dyDescent="0.4">
      <c r="R117" t="s">
        <v>70</v>
      </c>
      <c r="Z117" t="s">
        <v>69</v>
      </c>
      <c r="AR117" t="s">
        <v>17</v>
      </c>
    </row>
    <row r="118" spans="18:44" x14ac:dyDescent="0.4">
      <c r="R118" t="s">
        <v>71</v>
      </c>
      <c r="Z118" t="s">
        <v>70</v>
      </c>
      <c r="AR118" t="s">
        <v>80</v>
      </c>
    </row>
    <row r="119" spans="18:44" x14ac:dyDescent="0.4">
      <c r="R119" t="s">
        <v>72</v>
      </c>
      <c r="Z119" t="s">
        <v>71</v>
      </c>
      <c r="AR119" t="s">
        <v>17</v>
      </c>
    </row>
    <row r="120" spans="18:44" x14ac:dyDescent="0.4">
      <c r="R120" t="s">
        <v>78</v>
      </c>
      <c r="Z120" t="s">
        <v>72</v>
      </c>
      <c r="AR120" t="s">
        <v>19</v>
      </c>
    </row>
    <row r="121" spans="18:44" x14ac:dyDescent="0.4">
      <c r="R121" t="s">
        <v>79</v>
      </c>
      <c r="Z121" t="s">
        <v>78</v>
      </c>
      <c r="AR121" t="s">
        <v>92</v>
      </c>
    </row>
    <row r="122" spans="18:44" x14ac:dyDescent="0.4">
      <c r="Z122" t="s">
        <v>79</v>
      </c>
      <c r="AR122" t="s">
        <v>93</v>
      </c>
    </row>
    <row r="123" spans="18:44" x14ac:dyDescent="0.4">
      <c r="R123" t="s">
        <v>17</v>
      </c>
      <c r="AR123" t="s">
        <v>22</v>
      </c>
    </row>
    <row r="124" spans="18:44" x14ac:dyDescent="0.4">
      <c r="R124" t="s">
        <v>80</v>
      </c>
      <c r="Z124" t="s">
        <v>17</v>
      </c>
      <c r="AR124" t="s">
        <v>23</v>
      </c>
    </row>
    <row r="125" spans="18:44" x14ac:dyDescent="0.4">
      <c r="R125" t="s">
        <v>17</v>
      </c>
      <c r="Z125" t="s">
        <v>80</v>
      </c>
      <c r="AR125" t="s">
        <v>24</v>
      </c>
    </row>
    <row r="126" spans="18:44" x14ac:dyDescent="0.4">
      <c r="R126" t="s">
        <v>19</v>
      </c>
      <c r="Z126" t="s">
        <v>17</v>
      </c>
      <c r="AR126" t="s">
        <v>25</v>
      </c>
    </row>
    <row r="127" spans="18:44" x14ac:dyDescent="0.4">
      <c r="R127" t="s">
        <v>81</v>
      </c>
      <c r="Z127" t="s">
        <v>19</v>
      </c>
      <c r="AR127" t="s">
        <v>26</v>
      </c>
    </row>
    <row r="128" spans="18:44" x14ac:dyDescent="0.4">
      <c r="R128" t="s">
        <v>82</v>
      </c>
      <c r="Z128" t="s">
        <v>92</v>
      </c>
      <c r="AR128" t="s">
        <v>27</v>
      </c>
    </row>
    <row r="129" spans="18:44" x14ac:dyDescent="0.4">
      <c r="R129" t="s">
        <v>22</v>
      </c>
      <c r="Z129" t="s">
        <v>93</v>
      </c>
      <c r="AR129" t="s">
        <v>28</v>
      </c>
    </row>
    <row r="130" spans="18:44" x14ac:dyDescent="0.4">
      <c r="R130" t="s">
        <v>23</v>
      </c>
      <c r="Z130" t="s">
        <v>22</v>
      </c>
      <c r="AR130" t="s">
        <v>29</v>
      </c>
    </row>
    <row r="131" spans="18:44" x14ac:dyDescent="0.4">
      <c r="R131" t="s">
        <v>24</v>
      </c>
      <c r="Z131" t="s">
        <v>23</v>
      </c>
      <c r="AR131" t="s">
        <v>30</v>
      </c>
    </row>
    <row r="132" spans="18:44" x14ac:dyDescent="0.4">
      <c r="R132" t="s">
        <v>25</v>
      </c>
      <c r="Z132" t="s">
        <v>24</v>
      </c>
      <c r="AR132" t="s">
        <v>31</v>
      </c>
    </row>
    <row r="133" spans="18:44" x14ac:dyDescent="0.4">
      <c r="R133" t="s">
        <v>26</v>
      </c>
      <c r="Z133" t="s">
        <v>25</v>
      </c>
      <c r="AR133" t="s">
        <v>32</v>
      </c>
    </row>
    <row r="134" spans="18:44" x14ac:dyDescent="0.4">
      <c r="R134" t="s">
        <v>27</v>
      </c>
      <c r="Z134" t="s">
        <v>26</v>
      </c>
      <c r="AR134" t="s">
        <v>33</v>
      </c>
    </row>
    <row r="135" spans="18:44" x14ac:dyDescent="0.4">
      <c r="R135" t="s">
        <v>28</v>
      </c>
      <c r="Z135" t="s">
        <v>27</v>
      </c>
      <c r="AR135" t="s">
        <v>34</v>
      </c>
    </row>
    <row r="136" spans="18:44" x14ac:dyDescent="0.4">
      <c r="R136" t="s">
        <v>29</v>
      </c>
      <c r="Z136" t="s">
        <v>28</v>
      </c>
      <c r="AR136" t="s">
        <v>35</v>
      </c>
    </row>
    <row r="137" spans="18:44" x14ac:dyDescent="0.4">
      <c r="R137" t="s">
        <v>30</v>
      </c>
      <c r="Z137" t="s">
        <v>29</v>
      </c>
      <c r="AR137" t="s">
        <v>36</v>
      </c>
    </row>
    <row r="138" spans="18:44" x14ac:dyDescent="0.4">
      <c r="R138" t="s">
        <v>31</v>
      </c>
      <c r="Z138" t="s">
        <v>30</v>
      </c>
      <c r="AR138" t="s">
        <v>37</v>
      </c>
    </row>
    <row r="139" spans="18:44" x14ac:dyDescent="0.4">
      <c r="R139" t="s">
        <v>32</v>
      </c>
      <c r="Z139" t="s">
        <v>31</v>
      </c>
      <c r="AR139" t="s">
        <v>38</v>
      </c>
    </row>
    <row r="140" spans="18:44" x14ac:dyDescent="0.4">
      <c r="R140" t="s">
        <v>33</v>
      </c>
      <c r="Z140" t="s">
        <v>32</v>
      </c>
      <c r="AR140" t="s">
        <v>39</v>
      </c>
    </row>
    <row r="141" spans="18:44" x14ac:dyDescent="0.4">
      <c r="R141" t="s">
        <v>34</v>
      </c>
      <c r="Z141" t="s">
        <v>33</v>
      </c>
      <c r="AR141" t="s">
        <v>40</v>
      </c>
    </row>
    <row r="142" spans="18:44" x14ac:dyDescent="0.4">
      <c r="R142" t="s">
        <v>35</v>
      </c>
      <c r="Z142" t="s">
        <v>34</v>
      </c>
      <c r="AR142" t="s">
        <v>41</v>
      </c>
    </row>
    <row r="143" spans="18:44" x14ac:dyDescent="0.4">
      <c r="R143" t="s">
        <v>36</v>
      </c>
      <c r="Z143" t="s">
        <v>35</v>
      </c>
      <c r="AR143" t="s">
        <v>42</v>
      </c>
    </row>
    <row r="144" spans="18:44" x14ac:dyDescent="0.4">
      <c r="R144" t="s">
        <v>37</v>
      </c>
      <c r="Z144" t="s">
        <v>36</v>
      </c>
      <c r="AR144" t="s">
        <v>43</v>
      </c>
    </row>
    <row r="145" spans="18:44" x14ac:dyDescent="0.4">
      <c r="R145" t="s">
        <v>38</v>
      </c>
      <c r="Z145" t="s">
        <v>37</v>
      </c>
      <c r="AR145" t="s">
        <v>44</v>
      </c>
    </row>
    <row r="146" spans="18:44" x14ac:dyDescent="0.4">
      <c r="R146" t="s">
        <v>39</v>
      </c>
      <c r="Z146" t="s">
        <v>38</v>
      </c>
      <c r="AR146" t="s">
        <v>45</v>
      </c>
    </row>
    <row r="147" spans="18:44" x14ac:dyDescent="0.4">
      <c r="R147" t="s">
        <v>40</v>
      </c>
      <c r="Z147" t="s">
        <v>39</v>
      </c>
      <c r="AR147" t="s">
        <v>46</v>
      </c>
    </row>
    <row r="148" spans="18:44" x14ac:dyDescent="0.4">
      <c r="R148" t="s">
        <v>41</v>
      </c>
      <c r="Z148" t="s">
        <v>40</v>
      </c>
      <c r="AR148" t="s">
        <v>47</v>
      </c>
    </row>
    <row r="149" spans="18:44" x14ac:dyDescent="0.4">
      <c r="R149" t="s">
        <v>42</v>
      </c>
      <c r="Z149" t="s">
        <v>41</v>
      </c>
      <c r="AR149" t="s">
        <v>48</v>
      </c>
    </row>
    <row r="150" spans="18:44" x14ac:dyDescent="0.4">
      <c r="R150" t="s">
        <v>43</v>
      </c>
      <c r="Z150" t="s">
        <v>42</v>
      </c>
      <c r="AR150" t="s">
        <v>49</v>
      </c>
    </row>
    <row r="151" spans="18:44" x14ac:dyDescent="0.4">
      <c r="R151" t="s">
        <v>44</v>
      </c>
      <c r="Z151" t="s">
        <v>43</v>
      </c>
      <c r="AR151" t="s">
        <v>50</v>
      </c>
    </row>
    <row r="152" spans="18:44" x14ac:dyDescent="0.4">
      <c r="R152" t="s">
        <v>45</v>
      </c>
      <c r="Z152" t="s">
        <v>44</v>
      </c>
      <c r="AR152" t="s">
        <v>51</v>
      </c>
    </row>
    <row r="153" spans="18:44" x14ac:dyDescent="0.4">
      <c r="R153" t="s">
        <v>46</v>
      </c>
      <c r="Z153" t="s">
        <v>45</v>
      </c>
      <c r="AR153" t="s">
        <v>52</v>
      </c>
    </row>
    <row r="154" spans="18:44" x14ac:dyDescent="0.4">
      <c r="R154" t="s">
        <v>47</v>
      </c>
      <c r="Z154" t="s">
        <v>46</v>
      </c>
      <c r="AR154" t="s">
        <v>53</v>
      </c>
    </row>
    <row r="155" spans="18:44" x14ac:dyDescent="0.4">
      <c r="R155" t="s">
        <v>48</v>
      </c>
      <c r="Z155" t="s">
        <v>47</v>
      </c>
      <c r="AR155" t="s">
        <v>54</v>
      </c>
    </row>
    <row r="156" spans="18:44" x14ac:dyDescent="0.4">
      <c r="R156" t="s">
        <v>49</v>
      </c>
      <c r="Z156" t="s">
        <v>48</v>
      </c>
      <c r="AR156" t="s">
        <v>55</v>
      </c>
    </row>
    <row r="157" spans="18:44" x14ac:dyDescent="0.4">
      <c r="R157" t="s">
        <v>50</v>
      </c>
      <c r="Z157" t="s">
        <v>49</v>
      </c>
      <c r="AR157" t="s">
        <v>56</v>
      </c>
    </row>
    <row r="158" spans="18:44" x14ac:dyDescent="0.4">
      <c r="R158" t="s">
        <v>51</v>
      </c>
      <c r="Z158" t="s">
        <v>50</v>
      </c>
      <c r="AR158" t="s">
        <v>57</v>
      </c>
    </row>
    <row r="159" spans="18:44" x14ac:dyDescent="0.4">
      <c r="R159" t="s">
        <v>52</v>
      </c>
      <c r="Z159" t="s">
        <v>51</v>
      </c>
      <c r="AR159" t="s">
        <v>58</v>
      </c>
    </row>
    <row r="160" spans="18:44" x14ac:dyDescent="0.4">
      <c r="R160" t="s">
        <v>53</v>
      </c>
      <c r="Z160" t="s">
        <v>52</v>
      </c>
      <c r="AR160" t="s">
        <v>59</v>
      </c>
    </row>
    <row r="161" spans="18:44" x14ac:dyDescent="0.4">
      <c r="R161" t="s">
        <v>54</v>
      </c>
      <c r="Z161" t="s">
        <v>53</v>
      </c>
      <c r="AR161" t="s">
        <v>60</v>
      </c>
    </row>
    <row r="162" spans="18:44" x14ac:dyDescent="0.4">
      <c r="R162" t="s">
        <v>55</v>
      </c>
      <c r="Z162" t="s">
        <v>54</v>
      </c>
      <c r="AR162" t="s">
        <v>61</v>
      </c>
    </row>
    <row r="163" spans="18:44" x14ac:dyDescent="0.4">
      <c r="R163" t="s">
        <v>56</v>
      </c>
      <c r="Z163" t="s">
        <v>55</v>
      </c>
      <c r="AR163" t="s">
        <v>62</v>
      </c>
    </row>
    <row r="164" spans="18:44" x14ac:dyDescent="0.4">
      <c r="R164" t="s">
        <v>57</v>
      </c>
      <c r="Z164" t="s">
        <v>56</v>
      </c>
      <c r="AR164" t="s">
        <v>63</v>
      </c>
    </row>
    <row r="165" spans="18:44" x14ac:dyDescent="0.4">
      <c r="R165" t="s">
        <v>57</v>
      </c>
      <c r="Z165" t="s">
        <v>57</v>
      </c>
      <c r="AR165" t="s">
        <v>64</v>
      </c>
    </row>
    <row r="166" spans="18:44" x14ac:dyDescent="0.4">
      <c r="R166" t="s">
        <v>58</v>
      </c>
      <c r="Z166" t="s">
        <v>58</v>
      </c>
      <c r="AR166" t="s">
        <v>65</v>
      </c>
    </row>
    <row r="167" spans="18:44" x14ac:dyDescent="0.4">
      <c r="R167" t="s">
        <v>58</v>
      </c>
      <c r="Z167" t="s">
        <v>59</v>
      </c>
      <c r="AR167" t="s">
        <v>66</v>
      </c>
    </row>
    <row r="168" spans="18:44" x14ac:dyDescent="0.4">
      <c r="R168" t="s">
        <v>59</v>
      </c>
      <c r="Z168" t="s">
        <v>60</v>
      </c>
      <c r="AR168" t="s">
        <v>67</v>
      </c>
    </row>
    <row r="169" spans="18:44" x14ac:dyDescent="0.4">
      <c r="R169" t="s">
        <v>60</v>
      </c>
      <c r="Z169" t="s">
        <v>61</v>
      </c>
      <c r="AR169" t="s">
        <v>68</v>
      </c>
    </row>
    <row r="170" spans="18:44" x14ac:dyDescent="0.4">
      <c r="R170" t="s">
        <v>61</v>
      </c>
      <c r="Z170" t="s">
        <v>62</v>
      </c>
      <c r="AR170" t="s">
        <v>69</v>
      </c>
    </row>
    <row r="171" spans="18:44" x14ac:dyDescent="0.4">
      <c r="R171" t="s">
        <v>61</v>
      </c>
      <c r="Z171" t="s">
        <v>63</v>
      </c>
      <c r="AR171" t="s">
        <v>70</v>
      </c>
    </row>
    <row r="172" spans="18:44" x14ac:dyDescent="0.4">
      <c r="R172" t="s">
        <v>62</v>
      </c>
      <c r="Z172" t="s">
        <v>64</v>
      </c>
      <c r="AR172" t="s">
        <v>71</v>
      </c>
    </row>
    <row r="173" spans="18:44" x14ac:dyDescent="0.4">
      <c r="R173" t="s">
        <v>62</v>
      </c>
      <c r="Z173" t="s">
        <v>65</v>
      </c>
      <c r="AR173" t="s">
        <v>72</v>
      </c>
    </row>
    <row r="174" spans="18:44" x14ac:dyDescent="0.4">
      <c r="R174" t="s">
        <v>63</v>
      </c>
      <c r="Z174" t="s">
        <v>66</v>
      </c>
      <c r="AR174" t="s">
        <v>100</v>
      </c>
    </row>
    <row r="175" spans="18:44" x14ac:dyDescent="0.4">
      <c r="R175" t="s">
        <v>64</v>
      </c>
      <c r="Z175" t="s">
        <v>67</v>
      </c>
      <c r="AR175" t="s">
        <v>101</v>
      </c>
    </row>
    <row r="176" spans="18:44" x14ac:dyDescent="0.4">
      <c r="R176" t="s">
        <v>65</v>
      </c>
      <c r="Z176" t="s">
        <v>68</v>
      </c>
    </row>
    <row r="177" spans="18:26" x14ac:dyDescent="0.4">
      <c r="R177" t="s">
        <v>66</v>
      </c>
      <c r="Z177" t="s">
        <v>69</v>
      </c>
    </row>
    <row r="178" spans="18:26" x14ac:dyDescent="0.4">
      <c r="R178" t="s">
        <v>67</v>
      </c>
      <c r="Z178" t="s">
        <v>70</v>
      </c>
    </row>
    <row r="179" spans="18:26" x14ac:dyDescent="0.4">
      <c r="R179" t="s">
        <v>68</v>
      </c>
      <c r="Z179" t="s">
        <v>71</v>
      </c>
    </row>
    <row r="180" spans="18:26" x14ac:dyDescent="0.4">
      <c r="R180" t="s">
        <v>69</v>
      </c>
      <c r="Z180" t="s">
        <v>72</v>
      </c>
    </row>
    <row r="181" spans="18:26" x14ac:dyDescent="0.4">
      <c r="R181" t="s">
        <v>70</v>
      </c>
      <c r="Z181" t="s">
        <v>94</v>
      </c>
    </row>
    <row r="182" spans="18:26" x14ac:dyDescent="0.4">
      <c r="R182" t="s">
        <v>71</v>
      </c>
      <c r="Z182" t="s">
        <v>95</v>
      </c>
    </row>
    <row r="183" spans="18:26" x14ac:dyDescent="0.4">
      <c r="R183" t="s">
        <v>72</v>
      </c>
    </row>
    <row r="184" spans="18:26" x14ac:dyDescent="0.4">
      <c r="R184" t="s">
        <v>83</v>
      </c>
    </row>
    <row r="185" spans="18:26" x14ac:dyDescent="0.4">
      <c r="R185" t="s">
        <v>84</v>
      </c>
    </row>
  </sheetData>
  <mergeCells count="4">
    <mergeCell ref="C7:I7"/>
    <mergeCell ref="C12:I12"/>
    <mergeCell ref="C17:I17"/>
    <mergeCell ref="B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1119-0B35-4C83-A844-A339EB12F364}">
  <dimension ref="B2:B21"/>
  <sheetViews>
    <sheetView tabSelected="1" workbookViewId="0">
      <selection activeCell="G24" sqref="G24"/>
    </sheetView>
  </sheetViews>
  <sheetFormatPr defaultRowHeight="14.6" x14ac:dyDescent="0.4"/>
  <sheetData>
    <row r="2" spans="2:2" x14ac:dyDescent="0.4">
      <c r="B2" t="s">
        <v>102</v>
      </c>
    </row>
    <row r="4" spans="2:2" x14ac:dyDescent="0.4">
      <c r="B4" t="s">
        <v>17</v>
      </c>
    </row>
    <row r="5" spans="2:2" x14ac:dyDescent="0.4">
      <c r="B5" t="s">
        <v>103</v>
      </c>
    </row>
    <row r="6" spans="2:2" x14ac:dyDescent="0.4">
      <c r="B6" t="s">
        <v>17</v>
      </c>
    </row>
    <row r="7" spans="2:2" x14ac:dyDescent="0.4">
      <c r="B7" t="s">
        <v>104</v>
      </c>
    </row>
    <row r="8" spans="2:2" x14ac:dyDescent="0.4">
      <c r="B8" t="s">
        <v>105</v>
      </c>
    </row>
    <row r="9" spans="2:2" x14ac:dyDescent="0.4">
      <c r="B9" t="s">
        <v>106</v>
      </c>
    </row>
    <row r="10" spans="2:2" x14ac:dyDescent="0.4">
      <c r="B10" t="s">
        <v>107</v>
      </c>
    </row>
    <row r="13" spans="2:2" x14ac:dyDescent="0.4">
      <c r="B13" t="s">
        <v>108</v>
      </c>
    </row>
    <row r="15" spans="2:2" x14ac:dyDescent="0.4">
      <c r="B15" t="s">
        <v>17</v>
      </c>
    </row>
    <row r="16" spans="2:2" x14ac:dyDescent="0.4">
      <c r="B16" t="s">
        <v>103</v>
      </c>
    </row>
    <row r="17" spans="2:2" x14ac:dyDescent="0.4">
      <c r="B17" t="s">
        <v>17</v>
      </c>
    </row>
    <row r="18" spans="2:2" x14ac:dyDescent="0.4">
      <c r="B18" t="s">
        <v>109</v>
      </c>
    </row>
    <row r="19" spans="2:2" x14ac:dyDescent="0.4">
      <c r="B19" t="s">
        <v>110</v>
      </c>
    </row>
    <row r="20" spans="2:2" x14ac:dyDescent="0.4">
      <c r="B20" t="s">
        <v>106</v>
      </c>
    </row>
    <row r="21" spans="2:2" x14ac:dyDescent="0.4">
      <c r="B2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Simpson</dc:creator>
  <cp:lastModifiedBy>Daniel Trzcinski Simpson</cp:lastModifiedBy>
  <dcterms:created xsi:type="dcterms:W3CDTF">2015-06-05T18:17:20Z</dcterms:created>
  <dcterms:modified xsi:type="dcterms:W3CDTF">2026-03-15T19:49:34Z</dcterms:modified>
</cp:coreProperties>
</file>